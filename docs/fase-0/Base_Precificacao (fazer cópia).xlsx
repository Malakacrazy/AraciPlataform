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Instruções" sheetId="1" r:id="rId4"/>
    <sheet state="visible" name="01_Custos_Estúdio" sheetId="2" r:id="rId5"/>
    <sheet state="visible" name="02_Custo_Hora_Papel" sheetId="3" r:id="rId6"/>
    <sheet state="visible" name="03_Horas_Base_Estágio" sheetId="4" r:id="rId7"/>
    <sheet state="visible" name="04_Complexidade" sheetId="5" r:id="rId8"/>
    <sheet state="visible" name="05_Configurador" sheetId="6" r:id="rId9"/>
    <sheet state="visible" name="06_Cenários_Comparativos" sheetId="7" r:id="rId10"/>
  </sheets>
  <definedNames/>
  <calcPr/>
  <extLst>
    <ext uri="GoogleSheetsCustomDataVersion2">
      <go:sheetsCustomData xmlns:go="http://customooxmlschemas.google.com/" r:id="rId11" roundtripDataChecksum="l3yRSewK9QPTvYmck7wYupF85I0CkI2vFeZ+z6Sh02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======
ID#AAAB6kCXZvE
Unknown Author    (2026-05-17 17:33:06)
Excluir estagiários da capacidade faturável principal</t>
      </text>
    </comment>
    <comment authorId="0" ref="C18">
      <text>
        <t xml:space="preserve">======
ID#AAAB6kCXZu8
Unknown Author    (2026-05-17 17:33:06)
Desconta reuniões internas, treinamento, almoço. Típico: 6h em jornada de 8h.</t>
      </text>
    </comment>
    <comment authorId="0" ref="C17">
      <text>
        <t xml:space="preserve">======
ID#AAAB6kCXZu4
Unknown Author    (2026-05-17 17:33:06)
Média típica para Brasil</t>
      </text>
    </comment>
  </commentList>
  <extLst>
    <ext uri="GoogleSheetsCustomDataVersion2">
      <go:sheetsCustomData xmlns:go="http://customooxmlschemas.google.com/" r:id="rId1" roundtripDataSignature="AMtx7mgBewsLAqwtWHc7vdb3rIU2vR6Qu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9">
      <text>
        <t xml:space="preserve">======
ID#AAAB6kCXZvU
Unknown Author    (2026-05-17 17:33:06)
Horas faturáveis no mês. Líderes têm menos (reuniões, vendas).</t>
      </text>
    </comment>
    <comment authorId="0" ref="C6">
      <text>
        <t xml:space="preserve">======
ID#AAAB6kCXZvM
Unknown Author    (2026-05-17 17:33:06)
ISS + IR + CSLL + PIS + COFINS. Simples Nacional Anexo IV típico: ~15.5% a 22%. Verificar com contador.</t>
      </text>
    </comment>
    <comment authorId="0" ref="D9">
      <text>
        <t xml:space="preserve">======
ID#AAAB6kCXZvI
Unknown Author    (2026-05-17 17:33:06)
CLT total ~80%. PJ ~10-15%. Estagiário só vale-transporte+almoço.</t>
      </text>
    </comment>
    <comment authorId="0" ref="C5">
      <text>
        <t xml:space="preserve">======
ID#AAAB6kCXZu0
Unknown Author    (2026-05-17 17:33:06)
Margem operacional antes de impostos. Típico: 25%-45% para arquitetura.</t>
      </text>
    </comment>
  </commentList>
  <extLst>
    <ext uri="GoogleSheetsCustomDataVersion2">
      <go:sheetsCustomData xmlns:go="http://customooxmlschemas.google.com/" r:id="rId1" roundtripDataSignature="AMtx7mhSoXmXULeOZgHaLnqGMf2xWzwxg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7">
      <text>
        <t xml:space="preserve">======
ID#AAAB6kCXZvQ
Unknown Author    (2026-05-17 17:33:06)
Área de referência usada para benchmarking R$/m². Não afeta o cálculo principal (esse é cost-based).</t>
      </text>
    </comment>
    <comment authorId="0" ref="C22">
      <text>
        <t xml:space="preserve">======
ID#AAAB6kCXZvA
Unknown Author    (2026-05-17 17:33:06)
Desconto sobre subtotal quando 4 ou 5 stages contratados. Premia pacote completo.</t>
      </text>
    </comment>
  </commentList>
  <extLst>
    <ext uri="GoogleSheetsCustomDataVersion2">
      <go:sheetsCustomData xmlns:go="http://customooxmlschemas.google.com/" r:id="rId1" roundtripDataSignature="AMtx7mjjffgwfRl6sRSahtylTBqAHJNe4w=="/>
    </ext>
  </extLst>
</comments>
</file>

<file path=xl/sharedStrings.xml><?xml version="1.0" encoding="utf-8"?>
<sst xmlns="http://schemas.openxmlformats.org/spreadsheetml/2006/main" count="258" uniqueCount="204">
  <si>
    <t>Planilha de Precificação — Manual de Uso</t>
  </si>
  <si>
    <t>Modelo bottom-up baseado em custos do estúdio, horas por estágio e complexidade do projeto</t>
  </si>
  <si>
    <t>Fluxo de uso</t>
  </si>
  <si>
    <t>1. Custos do Estúdio</t>
  </si>
  <si>
    <t>Preencha custos fixos mensais (aluguel, software, etc.) na aba 01. Define overhead/hora.</t>
  </si>
  <si>
    <t>2. Custo-hora por Papel</t>
  </si>
  <si>
    <t>Preencha salários, encargos e horas faturáveis por papel na aba 02. Calcula tarifa/hora.</t>
  </si>
  <si>
    <t>3. Horas Base por Estágio</t>
  </si>
  <si>
    <t>Calibrar a aba 03 com horas típicas para um projeto baseline. Use seus projetos anteriores como referência.</t>
  </si>
  <si>
    <t>4. Complexidade do Projeto</t>
  </si>
  <si>
    <t>Para cada novo projeto, preencher scores 1-5 na aba 04. Resulta em multiplicador.</t>
  </si>
  <si>
    <t>5. Configurador</t>
  </si>
  <si>
    <t>Marcar quais estágios estão contratados na aba 05. Calcula preço final.</t>
  </si>
  <si>
    <t>6. Cenários</t>
  </si>
  <si>
    <t>A aba 06 mostra cenários típicos lado a lado para negociação.</t>
  </si>
  <si>
    <t>Convenções de cor</t>
  </si>
  <si>
    <t>Texto azul + fundo amarelo claro</t>
  </si>
  <si>
    <t>Input — célula que você edita</t>
  </si>
  <si>
    <t>Texto preto</t>
  </si>
  <si>
    <t>Fórmula calculada na mesma aba</t>
  </si>
  <si>
    <t>Texto verde</t>
  </si>
  <si>
    <t>Referência a outra aba (não editar)</t>
  </si>
  <si>
    <t>Fundo laranja claro</t>
  </si>
  <si>
    <t>Totais e resultados-chave</t>
  </si>
  <si>
    <t>Fundo amarelo médio</t>
  </si>
  <si>
    <t>Assumption crítica — calibrar com cuidado</t>
  </si>
  <si>
    <t>Notas metodológicas</t>
  </si>
  <si>
    <t>•</t>
  </si>
  <si>
    <t>Os valores default são placeholders e devem ser calibrados com os números reais do estúdio.</t>
  </si>
  <si>
    <t>Overhead é distribuído sobre horas faturáveis efetivas (não sobre horas totais trabalhadas).</t>
  </si>
  <si>
    <t>Complexidade afeta horas, não tarifa/hora. Lógica: projetos complexos demandam mais iteração, não cobrar caro pela hora.</t>
  </si>
  <si>
    <t>Pacote completo (4-5 stages) aplica desconto de 10% sobre o subtotal — premiar contratação integral.</t>
  </si>
  <si>
    <t>Stages contratados avulsos não recebem desconto — compensa overhead de setup não amortizado.</t>
  </si>
  <si>
    <t>Impostos: configurar conforme regime tributário do estúdio (Simples Nacional, Lucro Presumido, etc.).</t>
  </si>
  <si>
    <t>A planilha NÃO substitui análise caso a caso. Use como ponto de partida para discussão com o cliente.</t>
  </si>
  <si>
    <t>Custos Fixos do Estúdio</t>
  </si>
  <si>
    <t>Inputs: custos fixos mensais. Output: overhead/hora produtiva.</t>
  </si>
  <si>
    <t>Despesas fixas mensais</t>
  </si>
  <si>
    <t>Item</t>
  </si>
  <si>
    <t>R$/mês</t>
  </si>
  <si>
    <t>Notas</t>
  </si>
  <si>
    <t>Aluguel + condomínio</t>
  </si>
  <si>
    <t>Inclui IPTU</t>
  </si>
  <si>
    <t>Energia, internet, água, telefone</t>
  </si>
  <si>
    <t>Software (Revit, V-Ray, Office, Adobe...)</t>
  </si>
  <si>
    <t>Licenças mensais e anuais rateadas</t>
  </si>
  <si>
    <t>Hardware (depreciação)</t>
  </si>
  <si>
    <t>Workstations, monitores — depreciar em 36 meses</t>
  </si>
  <si>
    <t>Marketing e site</t>
  </si>
  <si>
    <t>Contador / assessoria jurídica</t>
  </si>
  <si>
    <t>Educação continuada / treinamentos</t>
  </si>
  <si>
    <t>Outras despesas administrativas</t>
  </si>
  <si>
    <t>TOTAL CUSTO FIXO MENSAL</t>
  </si>
  <si>
    <t>Capacidade produtiva do estúdio</t>
  </si>
  <si>
    <t>Dias úteis no mês</t>
  </si>
  <si>
    <t>Horas faturáveis/dia/pessoa</t>
  </si>
  <si>
    <t>Pessoas ativas no estúdio (média)</t>
  </si>
  <si>
    <t>TOTAL HORAS FATURÁVEIS/MÊS</t>
  </si>
  <si>
    <t>Cálculo do overhead</t>
  </si>
  <si>
    <t>OVERHEAD POR HORA FATURÁVEL</t>
  </si>
  <si>
    <t>Esse valor é adicionado ao custo direto de cada hora trabalhada (aba 02). Garante que os custos fixos do estúdio sejam recuperados antes da margem.</t>
  </si>
  <si>
    <t>Custo-Hora e Tarifa-Hora por Papel</t>
  </si>
  <si>
    <t>Inputs: salários, encargos, horas. Output: tarifa/hora a aplicar no orçamento.</t>
  </si>
  <si>
    <t>Configuração de remuneração e tarifa</t>
  </si>
  <si>
    <t>Margem-alvo (sobre custo total)</t>
  </si>
  <si>
    <t>Carga tributária (impostos sobre venda)</t>
  </si>
  <si>
    <t>Papel</t>
  </si>
  <si>
    <t>Salário Bruto</t>
  </si>
  <si>
    <t>Encargos</t>
  </si>
  <si>
    <t>Custo Total/mês</t>
  </si>
  <si>
    <t>Horas Faturáveis/mês</t>
  </si>
  <si>
    <t>Custo Direto/h</t>
  </si>
  <si>
    <t>Custo Total/h (com overhead)</t>
  </si>
  <si>
    <t>Tarifa/h</t>
  </si>
  <si>
    <t>Arquiteto Líder (RT)</t>
  </si>
  <si>
    <t>Coordenador de Projeto</t>
  </si>
  <si>
    <t>Arquiteto Sênior</t>
  </si>
  <si>
    <t>Arquiteto Pleno</t>
  </si>
  <si>
    <t>Arquiteto Júnior</t>
  </si>
  <si>
    <t>Coordenador BIM</t>
  </si>
  <si>
    <t>Lead 3D / Visualização</t>
  </si>
  <si>
    <t>Estagiário</t>
  </si>
  <si>
    <t>Custo Total/h = Custo Direto/h + Overhead/h (da aba 01)</t>
  </si>
  <si>
    <t>Tarifa/h = Custo Total/h × (1+margem) / (1-impostos)</t>
  </si>
  <si>
    <t>Horas Base por Estágio</t>
  </si>
  <si>
    <t>Esforço típico por papel/estágio em PROJETO BASELINE (residencial 300m², complexidade 1.0). Calibrar com históricos.</t>
  </si>
  <si>
    <t>Esforço (horas) por papel × estágio</t>
  </si>
  <si>
    <t>Stage 0
Def. Estratégica</t>
  </si>
  <si>
    <t>Stage 1
Briefing</t>
  </si>
  <si>
    <t>Stage 2
Conceitual</t>
  </si>
  <si>
    <t>Stage 3
Anteprojeto</t>
  </si>
  <si>
    <t>Stage 4
P. Técnico</t>
  </si>
  <si>
    <t>TOTAL h</t>
  </si>
  <si>
    <t>TOTAL R$
(complex. 1.0)</t>
  </si>
  <si>
    <t>TOTAL HORAS / ESTÁGIO</t>
  </si>
  <si>
    <t>CUSTO TOTAL/ESTÁGIO (R$)</t>
  </si>
  <si>
    <t>Estas horas representam um projeto residencial baseline (~300m², complexidade 1.0). Calibre com o histórico do estúdio: olhe os 3-5 últimos projetos e ajuste.</t>
  </si>
  <si>
    <t>Complexidade do Projeto</t>
  </si>
  <si>
    <t>Score 1-5 em 5 dimensões. Output: multiplicador a aplicar nas horas baseline.</t>
  </si>
  <si>
    <t>Fatores de complexidade (1 = simples / 5 = muito complexo)</t>
  </si>
  <si>
    <t>Dimensão</t>
  </si>
  <si>
    <t>Score (1-5)</t>
  </si>
  <si>
    <t>Referência rápida</t>
  </si>
  <si>
    <t>Tipologia</t>
  </si>
  <si>
    <t>1: residência simples / 3: comercial padrão / 5: hospital, laboratório, especializado</t>
  </si>
  <si>
    <t>Programa e escopo</t>
  </si>
  <si>
    <t>1: programa convencional / 3: programa misto / 5: programa altamente especializado</t>
  </si>
  <si>
    <t>Terreno</t>
  </si>
  <si>
    <t>1: plano regular urbano / 3: declive moderado / 5: topografia complexa, irregular, rural</t>
  </si>
  <si>
    <t>Regulatório</t>
  </si>
  <si>
    <t>1: zoneamento padrão / 3: zona especial / 5: tombamento + EIV + restrições múltiplas</t>
  </si>
  <si>
    <t>Ambição de design</t>
  </si>
  <si>
    <t>1: padrão funcional / 3: design diferenciado / 5: ícone, premium internacional</t>
  </si>
  <si>
    <t>Score composto e multiplicador</t>
  </si>
  <si>
    <t>Score médio</t>
  </si>
  <si>
    <t>MULTIPLICADOR DE HORAS</t>
  </si>
  <si>
    <t>Tabela de referência: score médio → multiplicador</t>
  </si>
  <si>
    <t>Multiplicador</t>
  </si>
  <si>
    <t>Interpretação</t>
  </si>
  <si>
    <t>0.70x</t>
  </si>
  <si>
    <t>Projeto muito simples — baixa exigência em todas dimensões</t>
  </si>
  <si>
    <t>0.90x</t>
  </si>
  <si>
    <t>Projeto simples — escopo bem definido, complexidade baixa</t>
  </si>
  <si>
    <t>1.10x</t>
  </si>
  <si>
    <t>Projeto padrão — complexidade média (referência típica)</t>
  </si>
  <si>
    <t>1.30x</t>
  </si>
  <si>
    <t>Projeto complexo — alta exigência em múltiplas dimensões</t>
  </si>
  <si>
    <t>1.50x</t>
  </si>
  <si>
    <t>Projeto muito complexo — extremo em todas dimensões</t>
  </si>
  <si>
    <t>O multiplicador é aplicado sobre as HORAS BASE (aba 03), não sobre a tarifa/hora. Lógica: projeto complexo demanda mais iteração, não cobrar mais por hora.</t>
  </si>
  <si>
    <t>Configurador de Cenário</t>
  </si>
  <si>
    <t>Selecione os estágios contratados. A planilha calcula horas, custo e preço final.</t>
  </si>
  <si>
    <t>Identificação do projeto</t>
  </si>
  <si>
    <t>Nome do projeto</t>
  </si>
  <si>
    <t>[Nome]</t>
  </si>
  <si>
    <t>Cliente</t>
  </si>
  <si>
    <t>[Cliente]</t>
  </si>
  <si>
    <t>Área (m²)</t>
  </si>
  <si>
    <t>Multiplicador de complexidade</t>
  </si>
  <si>
    <t>Configuração de estágios</t>
  </si>
  <si>
    <t>Estágio</t>
  </si>
  <si>
    <t>Contratado? (Sim/Não)</t>
  </si>
  <si>
    <t>Horas (base)</t>
  </si>
  <si>
    <t>Horas (× complex.)</t>
  </si>
  <si>
    <t>Custo Base R$</t>
  </si>
  <si>
    <t>Custo Ajustado R$</t>
  </si>
  <si>
    <t>Stage 0 — Captação e Alinhamento</t>
  </si>
  <si>
    <t>Sim</t>
  </si>
  <si>
    <t>Stage 1 — Briefing</t>
  </si>
  <si>
    <t>Stage 2 — Criação e Conceito</t>
  </si>
  <si>
    <t>Stage 3 — Detalhamento de Acabamentos</t>
  </si>
  <si>
    <t>Stage 4 — Executivo</t>
  </si>
  <si>
    <t>SUBTOTAL</t>
  </si>
  <si>
    <t>Aplicação de desconto de pacote</t>
  </si>
  <si>
    <t>Estágios contratados</t>
  </si>
  <si>
    <t>Modo de contratação</t>
  </si>
  <si>
    <t>Desconto aplicado</t>
  </si>
  <si>
    <t>Valor do desconto</t>
  </si>
  <si>
    <t>PREÇO FINAL DE PROPOSTA</t>
  </si>
  <si>
    <t>Honorário total ao cliente</t>
  </si>
  <si>
    <t>R$/m² implícito</t>
  </si>
  <si>
    <t>Horas totais</t>
  </si>
  <si>
    <t>R$/hora implícito</t>
  </si>
  <si>
    <t>Cenários Comparativos</t>
  </si>
  <si>
    <t>Cenários típicos de contratação lado a lado. Usar como base de negociação.</t>
  </si>
  <si>
    <t>Configuração dos cenários</t>
  </si>
  <si>
    <t>Multiplicador (usa aba 04)</t>
  </si>
  <si>
    <t>Métrica</t>
  </si>
  <si>
    <t>A — Pacote Completo</t>
  </si>
  <si>
    <t>B — Pacote sem Stage 0</t>
  </si>
  <si>
    <t>C — Conceito → Executivo</t>
  </si>
  <si>
    <t>D — Conceito + Anteprojeto</t>
  </si>
  <si>
    <t>E — Anteprojeto + Executivo</t>
  </si>
  <si>
    <t>F — Só Executivo</t>
  </si>
  <si>
    <t>Stage 0</t>
  </si>
  <si>
    <t>●</t>
  </si>
  <si>
    <t>○</t>
  </si>
  <si>
    <t>Stage 1</t>
  </si>
  <si>
    <t>Stage 2</t>
  </si>
  <si>
    <t>Stage 3</t>
  </si>
  <si>
    <t>Stage 4</t>
  </si>
  <si>
    <t>Subtotal (com complex.)</t>
  </si>
  <si>
    <t># Stages contratados</t>
  </si>
  <si>
    <t>Desconto pacote (10% se ≥4)</t>
  </si>
  <si>
    <t>PREÇO FINAL</t>
  </si>
  <si>
    <t>% vs Cenário A</t>
  </si>
  <si>
    <t>Descrição dos cenários</t>
  </si>
  <si>
    <t>Stages 0-4 — Projeto novo (arquitetura, interiores e reforma)</t>
  </si>
  <si>
    <t>B — Cliente Antigo, Novo Projeto</t>
  </si>
  <si>
    <t>Stages 1-4 — Clientes que já fecharam com o Studio antes e estão voltando para um novo projeto</t>
  </si>
  <si>
    <t>C — Um briefing, Dois projetos</t>
  </si>
  <si>
    <t>Stages 2-4 — Cliente com mais de um apartamento seguindo o mesmo projeto (perfil investidor; 1 briefing para dois projetos)</t>
  </si>
  <si>
    <t>D — Consultoria</t>
  </si>
  <si>
    <t xml:space="preserve">Stages 2-3 — Consultoria (projeto conceitual, mais simplificado) </t>
  </si>
  <si>
    <t xml:space="preserve">E — Executivo + Memorial </t>
  </si>
  <si>
    <t>Stages 3-4 —  Detalhamento e desenhos técnicos para projeto executivo a partir de um projeto de outro escritório sem memorial de acabamentos definidos</t>
  </si>
  <si>
    <t>F — Executivo Completo</t>
  </si>
  <si>
    <t>Stage 4 — Detalhamento e desenhos técnicos para projeto executivo a partir de um projeto de outro escritório com memorial de acabamentos definidos</t>
  </si>
  <si>
    <t>Notas de uso comercial</t>
  </si>
  <si>
    <t>Cenário A é a oferta-âncora — mostre primeiro para ancorar o cliente no valor total.</t>
  </si>
  <si>
    <t>Cliente que pede só Stage 4 (Cenário F): negocie incluir Stage 3 — sem anteprojeto coordenado, o executivo vira lambança.</t>
  </si>
  <si>
    <t>Cliente que pede só conceito (Cenário D): cuidado com transferência de IP. Garantir cláusula de uso.</t>
  </si>
  <si>
    <t>Cenário B é o mais comum para clientes com algum nível de maturidade — vale defaultar para ele.</t>
  </si>
  <si>
    <t>Se o cliente não fecha com A mas fecha com B, B + extras (acompanhamento de obra, viz extra) pode chegar ao mesmo valor.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</si>
</sst>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R$ &quot;#,##0.00;&quot;-R$ &quot;#,##0.00;\-"/>
    <numFmt numFmtId="165" formatCode="#,##0;\-#,##0;\-"/>
    <numFmt numFmtId="166" formatCode="0.0%"/>
    <numFmt numFmtId="167" formatCode="#,##0&quot; h&quot;"/>
    <numFmt numFmtId="168" formatCode="&quot;R$ &quot;#,##0;&quot;-R$ &quot;#,##0;\-"/>
    <numFmt numFmtId="169" formatCode="0.00\x"/>
  </numFmts>
  <fonts count="17">
    <font>
      <sz val="11.0"/>
      <color theme="1"/>
      <name val="Calibri"/>
      <scheme val="minor"/>
    </font>
    <font>
      <b/>
      <sz val="16.0"/>
      <color rgb="FF1F3864"/>
      <name val="Arial"/>
    </font>
    <font>
      <i/>
      <sz val="11.0"/>
      <color rgb="FF595959"/>
      <name val="Arial"/>
    </font>
    <font>
      <b/>
      <sz val="12.0"/>
      <color rgb="FF1F3864"/>
      <name val="Arial"/>
    </font>
    <font/>
    <font>
      <b/>
      <sz val="10.0"/>
      <color rgb="FF262626"/>
      <name val="Arial"/>
    </font>
    <font>
      <sz val="10.0"/>
      <color rgb="FF262626"/>
      <name val="Arial"/>
    </font>
    <font>
      <b/>
      <sz val="10.0"/>
      <color rgb="FFFFFFFF"/>
      <name val="Arial"/>
    </font>
    <font>
      <sz val="10.0"/>
      <color rgb="FF0000FF"/>
      <name val="Arial"/>
    </font>
    <font>
      <i/>
      <sz val="10.0"/>
      <color rgb="FF595959"/>
      <name val="Arial"/>
    </font>
    <font>
      <b/>
      <sz val="10.0"/>
      <color rgb="FF000000"/>
      <name val="Arial"/>
    </font>
    <font>
      <sz val="10.0"/>
      <color rgb="FF000000"/>
      <name val="Arial"/>
    </font>
    <font>
      <sz val="10.0"/>
      <color rgb="FF008000"/>
      <name val="Arial"/>
    </font>
    <font>
      <b/>
      <sz val="10.0"/>
      <color rgb="FF008000"/>
      <name val="Arial"/>
    </font>
    <font>
      <b/>
      <sz val="14.0"/>
      <color rgb="FF1F3864"/>
      <name val="Arial"/>
    </font>
    <font>
      <b/>
      <sz val="12.0"/>
      <color rgb="FFBFBFBF"/>
      <name val="Arial"/>
    </font>
    <font>
      <b/>
      <sz val="11.0"/>
      <color rgb="FF1F386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7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3" fontId="7" numFmtId="0" xfId="0" applyAlignment="1" applyBorder="1" applyFill="1" applyFont="1">
      <alignment horizontal="center" shrinkToFit="0" vertical="center" wrapText="1"/>
    </xf>
    <xf borderId="3" fillId="4" fontId="8" numFmtId="164" xfId="0" applyAlignment="1" applyBorder="1" applyFill="1" applyFont="1" applyNumberFormat="1">
      <alignment horizontal="right" vertical="center"/>
    </xf>
    <xf borderId="0" fillId="0" fontId="9" numFmtId="0" xfId="0" applyAlignment="1" applyFont="1">
      <alignment horizontal="left" shrinkToFit="0" vertical="center" wrapText="1"/>
    </xf>
    <xf borderId="3" fillId="5" fontId="10" numFmtId="164" xfId="0" applyAlignment="1" applyBorder="1" applyFill="1" applyFont="1" applyNumberFormat="1">
      <alignment horizontal="right" vertical="center"/>
    </xf>
    <xf borderId="3" fillId="4" fontId="8" numFmtId="165" xfId="0" applyAlignment="1" applyBorder="1" applyFont="1" applyNumberFormat="1">
      <alignment horizontal="right" vertical="center"/>
    </xf>
    <xf borderId="3" fillId="5" fontId="10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horizontal="left" vertical="center"/>
    </xf>
    <xf borderId="3" fillId="6" fontId="8" numFmtId="166" xfId="0" applyAlignment="1" applyBorder="1" applyFill="1" applyFont="1" applyNumberFormat="1">
      <alignment horizontal="right" vertical="center"/>
    </xf>
    <xf borderId="3" fillId="4" fontId="8" numFmtId="166" xfId="0" applyAlignment="1" applyBorder="1" applyFont="1" applyNumberFormat="1">
      <alignment horizontal="right" vertical="center"/>
    </xf>
    <xf borderId="3" fillId="0" fontId="11" numFmtId="164" xfId="0" applyAlignment="1" applyBorder="1" applyFont="1" applyNumberFormat="1">
      <alignment horizontal="right" vertical="center"/>
    </xf>
    <xf borderId="3" fillId="0" fontId="12" numFmtId="164" xfId="0" applyAlignment="1" applyBorder="1" applyFont="1" applyNumberFormat="1">
      <alignment horizontal="right" vertical="center"/>
    </xf>
    <xf borderId="3" fillId="4" fontId="8" numFmtId="167" xfId="0" applyAlignment="1" applyBorder="1" applyFont="1" applyNumberFormat="1">
      <alignment horizontal="right" vertical="center"/>
    </xf>
    <xf borderId="3" fillId="0" fontId="10" numFmtId="167" xfId="0" applyAlignment="1" applyBorder="1" applyFont="1" applyNumberFormat="1">
      <alignment horizontal="right" vertical="center"/>
    </xf>
    <xf borderId="3" fillId="0" fontId="13" numFmtId="168" xfId="0" applyAlignment="1" applyBorder="1" applyFont="1" applyNumberFormat="1">
      <alignment horizontal="right" vertical="center"/>
    </xf>
    <xf borderId="3" fillId="5" fontId="10" numFmtId="167" xfId="0" applyAlignment="1" applyBorder="1" applyFont="1" applyNumberFormat="1">
      <alignment horizontal="right" vertical="center"/>
    </xf>
    <xf borderId="3" fillId="5" fontId="10" numFmtId="168" xfId="0" applyAlignment="1" applyBorder="1" applyFont="1" applyNumberFormat="1">
      <alignment horizontal="right" vertical="center"/>
    </xf>
    <xf borderId="3" fillId="6" fontId="8" numFmtId="1" xfId="0" applyAlignment="1" applyBorder="1" applyFont="1" applyNumberFormat="1">
      <alignment horizontal="right" vertical="center"/>
    </xf>
    <xf borderId="3" fillId="5" fontId="10" numFmtId="2" xfId="0" applyAlignment="1" applyBorder="1" applyFont="1" applyNumberFormat="1">
      <alignment horizontal="right" vertical="center"/>
    </xf>
    <xf borderId="3" fillId="5" fontId="10" numFmtId="169" xfId="0" applyAlignment="1" applyBorder="1" applyFont="1" applyNumberFormat="1">
      <alignment horizontal="right" vertical="center"/>
    </xf>
    <xf borderId="4" fillId="4" fontId="8" numFmtId="49" xfId="0" applyAlignment="1" applyBorder="1" applyFont="1" applyNumberFormat="1">
      <alignment horizontal="right" vertical="center"/>
    </xf>
    <xf borderId="5" fillId="0" fontId="4" numFmtId="0" xfId="0" applyBorder="1" applyFont="1"/>
    <xf borderId="3" fillId="6" fontId="8" numFmtId="165" xfId="0" applyAlignment="1" applyBorder="1" applyFont="1" applyNumberFormat="1">
      <alignment horizontal="right" vertical="center"/>
    </xf>
    <xf borderId="3" fillId="6" fontId="13" numFmtId="169" xfId="0" applyAlignment="1" applyBorder="1" applyFont="1" applyNumberFormat="1">
      <alignment horizontal="right" vertical="center"/>
    </xf>
    <xf borderId="3" fillId="4" fontId="8" numFmtId="49" xfId="0" applyAlignment="1" applyBorder="1" applyFont="1" applyNumberFormat="1">
      <alignment horizontal="right" vertical="center"/>
    </xf>
    <xf borderId="3" fillId="0" fontId="12" numFmtId="167" xfId="0" applyAlignment="1" applyBorder="1" applyFont="1" applyNumberFormat="1">
      <alignment horizontal="right" vertical="center"/>
    </xf>
    <xf borderId="3" fillId="0" fontId="11" numFmtId="167" xfId="0" applyAlignment="1" applyBorder="1" applyFont="1" applyNumberFormat="1">
      <alignment horizontal="right" vertical="center"/>
    </xf>
    <xf borderId="3" fillId="0" fontId="12" numFmtId="168" xfId="0" applyAlignment="1" applyBorder="1" applyFont="1" applyNumberFormat="1">
      <alignment horizontal="right" vertical="center"/>
    </xf>
    <xf borderId="3" fillId="0" fontId="11" numFmtId="168" xfId="0" applyAlignment="1" applyBorder="1" applyFont="1" applyNumberFormat="1">
      <alignment horizontal="right" vertical="center"/>
    </xf>
    <xf borderId="3" fillId="4" fontId="8" numFmtId="49" xfId="0" applyAlignment="1" applyBorder="1" applyFont="1" applyNumberFormat="1">
      <alignment horizontal="right" readingOrder="0" vertical="center"/>
    </xf>
    <xf borderId="3" fillId="0" fontId="11" numFmtId="165" xfId="0" applyAlignment="1" applyBorder="1" applyFont="1" applyNumberFormat="1">
      <alignment horizontal="right" vertical="center"/>
    </xf>
    <xf borderId="3" fillId="0" fontId="11" numFmtId="49" xfId="0" applyAlignment="1" applyBorder="1" applyFont="1" applyNumberFormat="1">
      <alignment horizontal="right" vertical="center"/>
    </xf>
    <xf borderId="4" fillId="5" fontId="14" numFmtId="168" xfId="0" applyAlignment="1" applyBorder="1" applyFont="1" applyNumberFormat="1">
      <alignment horizontal="right" vertical="center"/>
    </xf>
    <xf borderId="6" fillId="0" fontId="4" numFmtId="0" xfId="0" applyBorder="1" applyFont="1"/>
    <xf borderId="4" fillId="0" fontId="13" numFmtId="169" xfId="0" applyAlignment="1" applyBorder="1" applyFont="1" applyNumberFormat="1">
      <alignment horizontal="right" vertical="center"/>
    </xf>
    <xf borderId="3" fillId="0" fontId="3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3" fillId="5" fontId="16" numFmtId="168" xfId="0" applyAlignment="1" applyBorder="1" applyFont="1" applyNumberFormat="1">
      <alignment horizontal="right" vertical="center"/>
    </xf>
    <xf borderId="3" fillId="0" fontId="11" numFmtId="166" xfId="0" applyAlignment="1" applyBorder="1" applyFont="1" applyNumberFormat="1">
      <alignment horizontal="right" vertical="center"/>
    </xf>
    <xf borderId="0" fillId="0" fontId="6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90.0"/>
    <col customWidth="1" min="3" max="26" width="8.71"/>
  </cols>
  <sheetData>
    <row r="1">
      <c r="A1" s="1" t="s">
        <v>0</v>
      </c>
    </row>
    <row r="2">
      <c r="A2" s="2" t="s">
        <v>1</v>
      </c>
    </row>
    <row r="4" ht="15.0" customHeight="1">
      <c r="A4" s="3" t="s">
        <v>2</v>
      </c>
      <c r="B4" s="4"/>
    </row>
    <row r="5">
      <c r="A5" s="5" t="s">
        <v>3</v>
      </c>
      <c r="B5" s="6" t="s">
        <v>4</v>
      </c>
    </row>
    <row r="6">
      <c r="A6" s="5" t="s">
        <v>5</v>
      </c>
      <c r="B6" s="6" t="s">
        <v>6</v>
      </c>
    </row>
    <row r="7">
      <c r="A7" s="5" t="s">
        <v>7</v>
      </c>
      <c r="B7" s="6" t="s">
        <v>8</v>
      </c>
    </row>
    <row r="8">
      <c r="A8" s="5" t="s">
        <v>9</v>
      </c>
      <c r="B8" s="6" t="s">
        <v>10</v>
      </c>
    </row>
    <row r="9">
      <c r="A9" s="5" t="s">
        <v>11</v>
      </c>
      <c r="B9" s="6" t="s">
        <v>12</v>
      </c>
    </row>
    <row r="10">
      <c r="A10" s="5" t="s">
        <v>13</v>
      </c>
      <c r="B10" s="6" t="s">
        <v>14</v>
      </c>
    </row>
    <row r="13" ht="15.0" customHeight="1">
      <c r="A13" s="3" t="s">
        <v>15</v>
      </c>
      <c r="B13" s="4"/>
    </row>
    <row r="14">
      <c r="A14" s="5" t="s">
        <v>16</v>
      </c>
      <c r="B14" s="6" t="s">
        <v>17</v>
      </c>
    </row>
    <row r="15">
      <c r="A15" s="5" t="s">
        <v>18</v>
      </c>
      <c r="B15" s="6" t="s">
        <v>19</v>
      </c>
    </row>
    <row r="16">
      <c r="A16" s="5" t="s">
        <v>20</v>
      </c>
      <c r="B16" s="6" t="s">
        <v>21</v>
      </c>
    </row>
    <row r="17">
      <c r="A17" s="5" t="s">
        <v>22</v>
      </c>
      <c r="B17" s="6" t="s">
        <v>23</v>
      </c>
    </row>
    <row r="18">
      <c r="A18" s="5" t="s">
        <v>24</v>
      </c>
      <c r="B18" s="6" t="s">
        <v>25</v>
      </c>
    </row>
    <row r="21" ht="15.0" customHeight="1">
      <c r="A21" s="3" t="s">
        <v>26</v>
      </c>
      <c r="B21" s="4"/>
    </row>
    <row r="22" ht="15.75" customHeight="1">
      <c r="A22" s="5" t="s">
        <v>27</v>
      </c>
      <c r="B22" s="6" t="s">
        <v>28</v>
      </c>
    </row>
    <row r="23" ht="15.75" customHeight="1">
      <c r="A23" s="5" t="s">
        <v>27</v>
      </c>
      <c r="B23" s="6" t="s">
        <v>29</v>
      </c>
    </row>
    <row r="24" ht="15.75" customHeight="1">
      <c r="A24" s="5" t="s">
        <v>27</v>
      </c>
      <c r="B24" s="6" t="s">
        <v>30</v>
      </c>
    </row>
    <row r="25" ht="15.75" customHeight="1">
      <c r="A25" s="5" t="s">
        <v>27</v>
      </c>
      <c r="B25" s="6" t="s">
        <v>31</v>
      </c>
    </row>
    <row r="26" ht="15.75" customHeight="1">
      <c r="A26" s="5" t="s">
        <v>27</v>
      </c>
      <c r="B26" s="6" t="s">
        <v>32</v>
      </c>
    </row>
    <row r="27" ht="15.75" customHeight="1">
      <c r="A27" s="5" t="s">
        <v>27</v>
      </c>
      <c r="B27" s="6" t="s">
        <v>33</v>
      </c>
    </row>
    <row r="28" ht="15.75" customHeight="1">
      <c r="A28" s="5" t="s">
        <v>27</v>
      </c>
      <c r="B28" s="6" t="s">
        <v>34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:B2"/>
    <mergeCell ref="A4:B4"/>
    <mergeCell ref="A13:B13"/>
    <mergeCell ref="A21:B2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8.0"/>
    <col customWidth="1" min="3" max="3" width="16.0"/>
    <col customWidth="1" min="4" max="4" width="4.0"/>
    <col customWidth="1" min="5" max="5" width="50.0"/>
    <col customWidth="1" min="6" max="26" width="8.71"/>
  </cols>
  <sheetData>
    <row r="1">
      <c r="A1" s="1" t="s">
        <v>35</v>
      </c>
    </row>
    <row r="2">
      <c r="A2" s="2" t="s">
        <v>36</v>
      </c>
    </row>
    <row r="4" ht="15.0" customHeight="1">
      <c r="A4" s="3" t="s">
        <v>37</v>
      </c>
      <c r="B4" s="4"/>
      <c r="C4" s="4"/>
      <c r="D4" s="4"/>
      <c r="E4" s="4"/>
    </row>
    <row r="5">
      <c r="B5" s="7" t="s">
        <v>38</v>
      </c>
      <c r="C5" s="7" t="s">
        <v>39</v>
      </c>
      <c r="E5" s="7" t="s">
        <v>40</v>
      </c>
    </row>
    <row r="6">
      <c r="B6" s="6" t="s">
        <v>41</v>
      </c>
      <c r="C6" s="8">
        <v>0.0</v>
      </c>
      <c r="E6" s="9" t="s">
        <v>42</v>
      </c>
    </row>
    <row r="7">
      <c r="B7" s="6" t="s">
        <v>43</v>
      </c>
      <c r="C7" s="8">
        <v>30.0</v>
      </c>
      <c r="E7" s="9"/>
    </row>
    <row r="8">
      <c r="B8" s="6" t="s">
        <v>44</v>
      </c>
      <c r="C8" s="8">
        <v>0.0</v>
      </c>
      <c r="E8" s="9" t="s">
        <v>45</v>
      </c>
    </row>
    <row r="9">
      <c r="B9" s="6" t="s">
        <v>46</v>
      </c>
      <c r="C9" s="8">
        <v>0.0</v>
      </c>
      <c r="E9" s="9" t="s">
        <v>47</v>
      </c>
    </row>
    <row r="10">
      <c r="B10" s="6" t="s">
        <v>48</v>
      </c>
      <c r="C10" s="8">
        <v>1000.0</v>
      </c>
      <c r="E10" s="9"/>
    </row>
    <row r="11">
      <c r="B11" s="6" t="s">
        <v>49</v>
      </c>
      <c r="C11" s="8">
        <v>86.05</v>
      </c>
      <c r="E11" s="9"/>
    </row>
    <row r="12">
      <c r="B12" s="6" t="s">
        <v>50</v>
      </c>
      <c r="C12" s="8">
        <v>100.0</v>
      </c>
      <c r="E12" s="9"/>
    </row>
    <row r="13">
      <c r="B13" s="6" t="s">
        <v>51</v>
      </c>
      <c r="C13" s="8">
        <f>4*190.53/12</f>
        <v>63.51</v>
      </c>
      <c r="E13" s="9"/>
    </row>
    <row r="14">
      <c r="B14" s="5" t="s">
        <v>52</v>
      </c>
      <c r="C14" s="10">
        <f>SUM(C6:C13)</f>
        <v>1279.56</v>
      </c>
    </row>
    <row r="16" ht="15.0" customHeight="1">
      <c r="A16" s="3" t="s">
        <v>53</v>
      </c>
      <c r="B16" s="4"/>
      <c r="C16" s="4"/>
      <c r="D16" s="4"/>
      <c r="E16" s="4"/>
    </row>
    <row r="17">
      <c r="B17" s="6" t="s">
        <v>54</v>
      </c>
      <c r="C17" s="11">
        <v>21.0</v>
      </c>
    </row>
    <row r="18">
      <c r="B18" s="6" t="s">
        <v>55</v>
      </c>
      <c r="C18" s="11">
        <v>8.0</v>
      </c>
    </row>
    <row r="19">
      <c r="B19" s="6" t="s">
        <v>56</v>
      </c>
      <c r="C19" s="11">
        <v>1.0</v>
      </c>
    </row>
    <row r="20">
      <c r="B20" s="5" t="s">
        <v>57</v>
      </c>
      <c r="C20" s="12">
        <f>C17*C18*C19</f>
        <v>168</v>
      </c>
    </row>
    <row r="21" ht="15.75" customHeight="1"/>
    <row r="22" ht="15.0" customHeight="1">
      <c r="A22" s="3" t="s">
        <v>58</v>
      </c>
      <c r="B22" s="4"/>
      <c r="C22" s="4"/>
      <c r="D22" s="4"/>
      <c r="E22" s="4"/>
    </row>
    <row r="23" ht="15.75" customHeight="1">
      <c r="B23" s="5" t="s">
        <v>59</v>
      </c>
      <c r="C23" s="10">
        <f>C14/C20</f>
        <v>7.616428571</v>
      </c>
    </row>
    <row r="24" ht="15.75" customHeight="1"/>
    <row r="25" ht="15.75" customHeight="1">
      <c r="B25" s="13" t="s">
        <v>60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E1"/>
    <mergeCell ref="A2:E2"/>
    <mergeCell ref="A4:E4"/>
    <mergeCell ref="A16:E16"/>
    <mergeCell ref="A22:E2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14.0"/>
    <col customWidth="1" min="4" max="4" width="12.0"/>
    <col customWidth="1" min="5" max="9" width="14.0"/>
    <col customWidth="1" min="10" max="26" width="8.71"/>
  </cols>
  <sheetData>
    <row r="1">
      <c r="A1" s="1" t="s">
        <v>61</v>
      </c>
    </row>
    <row r="2">
      <c r="A2" s="2" t="s">
        <v>62</v>
      </c>
    </row>
    <row r="4" ht="15.0" customHeight="1">
      <c r="A4" s="3" t="s">
        <v>63</v>
      </c>
      <c r="B4" s="4"/>
      <c r="C4" s="4"/>
      <c r="D4" s="4"/>
      <c r="E4" s="4"/>
      <c r="F4" s="4"/>
      <c r="G4" s="4"/>
      <c r="H4" s="4"/>
      <c r="I4" s="4"/>
    </row>
    <row r="5">
      <c r="B5" s="5" t="s">
        <v>64</v>
      </c>
      <c r="C5" s="14">
        <v>0.3</v>
      </c>
    </row>
    <row r="6">
      <c r="B6" s="5" t="s">
        <v>65</v>
      </c>
      <c r="C6" s="14">
        <v>0.0</v>
      </c>
    </row>
    <row r="8">
      <c r="B8" s="7" t="s">
        <v>66</v>
      </c>
      <c r="C8" s="7" t="s">
        <v>67</v>
      </c>
      <c r="D8" s="7" t="s">
        <v>68</v>
      </c>
      <c r="E8" s="7" t="s">
        <v>69</v>
      </c>
      <c r="F8" s="7" t="s">
        <v>70</v>
      </c>
      <c r="G8" s="7" t="s">
        <v>71</v>
      </c>
      <c r="H8" s="7" t="s">
        <v>72</v>
      </c>
      <c r="I8" s="7" t="s">
        <v>73</v>
      </c>
    </row>
    <row r="9">
      <c r="B9" s="5" t="s">
        <v>74</v>
      </c>
      <c r="C9" s="8">
        <v>6500.0</v>
      </c>
      <c r="D9" s="15">
        <v>0.0</v>
      </c>
      <c r="E9" s="16">
        <f t="shared" ref="E9:E16" si="1">C9*(1+D9)</f>
        <v>6500</v>
      </c>
      <c r="F9" s="11">
        <v>168.0</v>
      </c>
      <c r="G9" s="16">
        <f t="shared" ref="G9:G16" si="2">E9/F9</f>
        <v>38.69047619</v>
      </c>
      <c r="H9" s="17">
        <f>G9+'01_Custos_Estúdio'!$C$23</f>
        <v>46.30690476</v>
      </c>
      <c r="I9" s="10">
        <f t="shared" ref="I9:I16" si="3">H9*(1+$C$5)/(1-$C$6)</f>
        <v>60.19897619</v>
      </c>
    </row>
    <row r="10" hidden="1">
      <c r="B10" s="5" t="s">
        <v>75</v>
      </c>
      <c r="C10" s="8">
        <v>0.0</v>
      </c>
      <c r="D10" s="15">
        <v>0.0</v>
      </c>
      <c r="E10" s="16">
        <f t="shared" si="1"/>
        <v>0</v>
      </c>
      <c r="F10" s="11">
        <v>130.0</v>
      </c>
      <c r="G10" s="16">
        <f t="shared" si="2"/>
        <v>0</v>
      </c>
      <c r="H10" s="17">
        <f>G10+'01_Custos_Estúdio'!$C$23</f>
        <v>7.616428571</v>
      </c>
      <c r="I10" s="10">
        <f t="shared" si="3"/>
        <v>9.901357143</v>
      </c>
    </row>
    <row r="11" hidden="1">
      <c r="B11" s="5" t="s">
        <v>76</v>
      </c>
      <c r="C11" s="8">
        <v>0.0</v>
      </c>
      <c r="D11" s="15">
        <v>0.0</v>
      </c>
      <c r="E11" s="16">
        <f t="shared" si="1"/>
        <v>0</v>
      </c>
      <c r="F11" s="11">
        <v>140.0</v>
      </c>
      <c r="G11" s="16">
        <f t="shared" si="2"/>
        <v>0</v>
      </c>
      <c r="H11" s="17">
        <f>G11+'01_Custos_Estúdio'!$C$23</f>
        <v>7.616428571</v>
      </c>
      <c r="I11" s="10">
        <f t="shared" si="3"/>
        <v>9.901357143</v>
      </c>
    </row>
    <row r="12" hidden="1">
      <c r="B12" s="5" t="s">
        <v>77</v>
      </c>
      <c r="C12" s="8">
        <v>0.0</v>
      </c>
      <c r="D12" s="15">
        <v>0.0</v>
      </c>
      <c r="E12" s="16">
        <f t="shared" si="1"/>
        <v>0</v>
      </c>
      <c r="F12" s="11">
        <v>150.0</v>
      </c>
      <c r="G12" s="16">
        <f t="shared" si="2"/>
        <v>0</v>
      </c>
      <c r="H12" s="17">
        <f>G12+'01_Custos_Estúdio'!$C$23</f>
        <v>7.616428571</v>
      </c>
      <c r="I12" s="10">
        <f t="shared" si="3"/>
        <v>9.901357143</v>
      </c>
    </row>
    <row r="13" hidden="1">
      <c r="B13" s="5" t="s">
        <v>78</v>
      </c>
      <c r="C13" s="8">
        <v>0.0</v>
      </c>
      <c r="D13" s="15">
        <v>0.0</v>
      </c>
      <c r="E13" s="16">
        <f t="shared" si="1"/>
        <v>0</v>
      </c>
      <c r="F13" s="11">
        <v>160.0</v>
      </c>
      <c r="G13" s="16">
        <f t="shared" si="2"/>
        <v>0</v>
      </c>
      <c r="H13" s="17">
        <f>G13+'01_Custos_Estúdio'!$C$23</f>
        <v>7.616428571</v>
      </c>
      <c r="I13" s="10">
        <f t="shared" si="3"/>
        <v>9.901357143</v>
      </c>
    </row>
    <row r="14" hidden="1">
      <c r="B14" s="5" t="s">
        <v>79</v>
      </c>
      <c r="C14" s="8">
        <v>0.0</v>
      </c>
      <c r="D14" s="15">
        <v>0.0</v>
      </c>
      <c r="E14" s="16">
        <f t="shared" si="1"/>
        <v>0</v>
      </c>
      <c r="F14" s="11">
        <v>140.0</v>
      </c>
      <c r="G14" s="16">
        <f t="shared" si="2"/>
        <v>0</v>
      </c>
      <c r="H14" s="17">
        <f>G14+'01_Custos_Estúdio'!$C$23</f>
        <v>7.616428571</v>
      </c>
      <c r="I14" s="10">
        <f t="shared" si="3"/>
        <v>9.901357143</v>
      </c>
    </row>
    <row r="15" hidden="1">
      <c r="B15" s="5" t="s">
        <v>80</v>
      </c>
      <c r="C15" s="8">
        <v>0.0</v>
      </c>
      <c r="D15" s="15">
        <v>0.0</v>
      </c>
      <c r="E15" s="16">
        <f t="shared" si="1"/>
        <v>0</v>
      </c>
      <c r="F15" s="11">
        <v>150.0</v>
      </c>
      <c r="G15" s="16">
        <f t="shared" si="2"/>
        <v>0</v>
      </c>
      <c r="H15" s="17">
        <f>G15+'01_Custos_Estúdio'!$C$23</f>
        <v>7.616428571</v>
      </c>
      <c r="I15" s="10">
        <f t="shared" si="3"/>
        <v>9.901357143</v>
      </c>
    </row>
    <row r="16">
      <c r="B16" s="5" t="s">
        <v>81</v>
      </c>
      <c r="C16" s="8">
        <v>0.0</v>
      </c>
      <c r="D16" s="15">
        <v>0.0</v>
      </c>
      <c r="E16" s="16">
        <f t="shared" si="1"/>
        <v>0</v>
      </c>
      <c r="F16" s="11">
        <v>120.0</v>
      </c>
      <c r="G16" s="16">
        <f t="shared" si="2"/>
        <v>0</v>
      </c>
      <c r="H16" s="17">
        <f>G16+'01_Custos_Estúdio'!$C$23</f>
        <v>7.616428571</v>
      </c>
      <c r="I16" s="10">
        <f t="shared" si="3"/>
        <v>9.901357143</v>
      </c>
    </row>
    <row r="18">
      <c r="B18" s="13" t="s">
        <v>82</v>
      </c>
    </row>
    <row r="19">
      <c r="B19" s="13" t="s">
        <v>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4:I4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4.0"/>
    <col customWidth="1" min="3" max="8" width="14.0"/>
    <col customWidth="1" min="9" max="9" width="16.0"/>
    <col customWidth="1" min="10" max="26" width="8.71"/>
  </cols>
  <sheetData>
    <row r="1">
      <c r="A1" s="1" t="s">
        <v>84</v>
      </c>
    </row>
    <row r="2">
      <c r="A2" s="2" t="s">
        <v>85</v>
      </c>
    </row>
    <row r="4" ht="15.0" customHeight="1">
      <c r="A4" s="3" t="s">
        <v>86</v>
      </c>
      <c r="B4" s="4"/>
      <c r="C4" s="4"/>
      <c r="D4" s="4"/>
      <c r="E4" s="4"/>
      <c r="F4" s="4"/>
      <c r="G4" s="4"/>
      <c r="H4" s="4"/>
    </row>
    <row r="6" ht="34.5" customHeight="1">
      <c r="B6" s="7" t="s">
        <v>66</v>
      </c>
      <c r="C6" s="7" t="s">
        <v>87</v>
      </c>
      <c r="D6" s="7" t="s">
        <v>88</v>
      </c>
      <c r="E6" s="7" t="s">
        <v>89</v>
      </c>
      <c r="F6" s="7" t="s">
        <v>90</v>
      </c>
      <c r="G6" s="7" t="s">
        <v>91</v>
      </c>
      <c r="H6" s="7" t="s">
        <v>92</v>
      </c>
      <c r="I6" s="7" t="s">
        <v>93</v>
      </c>
    </row>
    <row r="7">
      <c r="B7" s="5" t="s">
        <v>74</v>
      </c>
      <c r="C7" s="18">
        <v>10.0</v>
      </c>
      <c r="D7" s="18">
        <v>10.0</v>
      </c>
      <c r="E7" s="18">
        <v>20.0</v>
      </c>
      <c r="F7" s="18">
        <v>20.0</v>
      </c>
      <c r="G7" s="18">
        <v>15.0</v>
      </c>
      <c r="H7" s="19">
        <f t="shared" ref="H7:H15" si="1">SUM(C7:G7)</f>
        <v>75</v>
      </c>
      <c r="I7" s="20">
        <f>H7*'02_Custo_Hora_Papel'!$I$9</f>
        <v>4514.923214</v>
      </c>
    </row>
    <row r="8" hidden="1">
      <c r="B8" s="5" t="s">
        <v>75</v>
      </c>
      <c r="C8" s="18">
        <v>0.0</v>
      </c>
      <c r="D8" s="18">
        <v>0.0</v>
      </c>
      <c r="E8" s="18">
        <v>0.0</v>
      </c>
      <c r="F8" s="18">
        <v>0.0</v>
      </c>
      <c r="G8" s="18">
        <v>0.0</v>
      </c>
      <c r="H8" s="19">
        <f t="shared" si="1"/>
        <v>0</v>
      </c>
      <c r="I8" s="20">
        <f>H8*'02_Custo_Hora_Papel'!$I$10</f>
        <v>0</v>
      </c>
    </row>
    <row r="9" hidden="1">
      <c r="B9" s="5" t="s">
        <v>76</v>
      </c>
      <c r="C9" s="18">
        <v>0.0</v>
      </c>
      <c r="D9" s="18">
        <v>0.0</v>
      </c>
      <c r="E9" s="18">
        <v>0.0</v>
      </c>
      <c r="F9" s="18">
        <v>0.0</v>
      </c>
      <c r="G9" s="18">
        <v>0.0</v>
      </c>
      <c r="H9" s="19">
        <f t="shared" si="1"/>
        <v>0</v>
      </c>
      <c r="I9" s="20">
        <f>H9*'02_Custo_Hora_Papel'!$I$11</f>
        <v>0</v>
      </c>
    </row>
    <row r="10" hidden="1">
      <c r="B10" s="5" t="s">
        <v>77</v>
      </c>
      <c r="C10" s="18">
        <v>0.0</v>
      </c>
      <c r="D10" s="18">
        <v>0.0</v>
      </c>
      <c r="E10" s="18">
        <v>0.0</v>
      </c>
      <c r="F10" s="18">
        <v>0.0</v>
      </c>
      <c r="G10" s="18">
        <v>0.0</v>
      </c>
      <c r="H10" s="19">
        <f t="shared" si="1"/>
        <v>0</v>
      </c>
      <c r="I10" s="20">
        <f>H10*'02_Custo_Hora_Papel'!$I$12</f>
        <v>0</v>
      </c>
    </row>
    <row r="11" hidden="1">
      <c r="B11" s="5" t="s">
        <v>78</v>
      </c>
      <c r="C11" s="18">
        <v>0.0</v>
      </c>
      <c r="D11" s="18">
        <v>0.0</v>
      </c>
      <c r="E11" s="18">
        <v>0.0</v>
      </c>
      <c r="F11" s="18">
        <v>0.0</v>
      </c>
      <c r="G11" s="18">
        <v>0.0</v>
      </c>
      <c r="H11" s="19">
        <f t="shared" si="1"/>
        <v>0</v>
      </c>
      <c r="I11" s="20">
        <f>H11*'02_Custo_Hora_Papel'!$I$13</f>
        <v>0</v>
      </c>
    </row>
    <row r="12" hidden="1">
      <c r="B12" s="5" t="s">
        <v>79</v>
      </c>
      <c r="C12" s="18">
        <v>0.0</v>
      </c>
      <c r="D12" s="18">
        <v>0.0</v>
      </c>
      <c r="E12" s="18">
        <v>0.0</v>
      </c>
      <c r="F12" s="18">
        <v>0.0</v>
      </c>
      <c r="G12" s="18">
        <v>0.0</v>
      </c>
      <c r="H12" s="19">
        <f t="shared" si="1"/>
        <v>0</v>
      </c>
      <c r="I12" s="20">
        <f>H12*'02_Custo_Hora_Papel'!$I$14</f>
        <v>0</v>
      </c>
    </row>
    <row r="13" hidden="1">
      <c r="B13" s="5" t="s">
        <v>80</v>
      </c>
      <c r="C13" s="18">
        <v>0.0</v>
      </c>
      <c r="D13" s="18">
        <v>0.0</v>
      </c>
      <c r="E13" s="18">
        <v>0.0</v>
      </c>
      <c r="F13" s="18">
        <v>0.0</v>
      </c>
      <c r="G13" s="18">
        <v>0.0</v>
      </c>
      <c r="H13" s="19">
        <f t="shared" si="1"/>
        <v>0</v>
      </c>
      <c r="I13" s="20">
        <f>H13*'02_Custo_Hora_Papel'!$I$15</f>
        <v>0</v>
      </c>
    </row>
    <row r="14">
      <c r="B14" s="5" t="s">
        <v>81</v>
      </c>
      <c r="C14" s="18">
        <v>0.0</v>
      </c>
      <c r="D14" s="18">
        <v>0.0</v>
      </c>
      <c r="E14" s="18">
        <v>0.0</v>
      </c>
      <c r="F14" s="18">
        <v>0.0</v>
      </c>
      <c r="G14" s="18">
        <v>0.0</v>
      </c>
      <c r="H14" s="19">
        <f t="shared" si="1"/>
        <v>0</v>
      </c>
      <c r="I14" s="20">
        <f>H14*'02_Custo_Hora_Papel'!$I$16</f>
        <v>0</v>
      </c>
    </row>
    <row r="15">
      <c r="B15" s="5" t="s">
        <v>94</v>
      </c>
      <c r="C15" s="21">
        <f t="shared" ref="C15:G15" si="2">SUM(C7:C14)</f>
        <v>10</v>
      </c>
      <c r="D15" s="21">
        <f t="shared" si="2"/>
        <v>10</v>
      </c>
      <c r="E15" s="21">
        <f t="shared" si="2"/>
        <v>20</v>
      </c>
      <c r="F15" s="21">
        <f t="shared" si="2"/>
        <v>20</v>
      </c>
      <c r="G15" s="21">
        <f t="shared" si="2"/>
        <v>15</v>
      </c>
      <c r="H15" s="21">
        <f t="shared" si="1"/>
        <v>75</v>
      </c>
      <c r="I15" s="22">
        <f>SUM(I7:I14)</f>
        <v>4514.923214</v>
      </c>
    </row>
    <row r="16">
      <c r="B16" s="5" t="s">
        <v>95</v>
      </c>
      <c r="C16" s="22">
        <f>C7*'02_Custo_Hora_Papel'!$I$9+C8*'02_Custo_Hora_Papel'!$I$10+C9*'02_Custo_Hora_Papel'!$I$11+C10*'02_Custo_Hora_Papel'!$I$12+C11*'02_Custo_Hora_Papel'!$I$13+C12*'02_Custo_Hora_Papel'!$I$14+C13*'02_Custo_Hora_Papel'!$I$15+C14*'02_Custo_Hora_Papel'!$I$16</f>
        <v>601.9897619</v>
      </c>
      <c r="D16" s="22">
        <f>D7*'02_Custo_Hora_Papel'!$I$9+D8*'02_Custo_Hora_Papel'!$I$10+D9*'02_Custo_Hora_Papel'!$I$11+D10*'02_Custo_Hora_Papel'!$I$12+D11*'02_Custo_Hora_Papel'!$I$13+D12*'02_Custo_Hora_Papel'!$I$14+D13*'02_Custo_Hora_Papel'!$I$15+D14*'02_Custo_Hora_Papel'!$I$16</f>
        <v>601.9897619</v>
      </c>
      <c r="E16" s="22">
        <f>E7*'02_Custo_Hora_Papel'!$I$9+E8*'02_Custo_Hora_Papel'!$I$10+E9*'02_Custo_Hora_Papel'!$I$11+E10*'02_Custo_Hora_Papel'!$I$12+E11*'02_Custo_Hora_Papel'!$I$13+E12*'02_Custo_Hora_Papel'!$I$14+E13*'02_Custo_Hora_Papel'!$I$15+E14*'02_Custo_Hora_Papel'!$I$16</f>
        <v>1203.979524</v>
      </c>
      <c r="F16" s="22">
        <f>F7*'02_Custo_Hora_Papel'!$I$9+F8*'02_Custo_Hora_Papel'!$I$10+F9*'02_Custo_Hora_Papel'!$I$11+F10*'02_Custo_Hora_Papel'!$I$12+F11*'02_Custo_Hora_Papel'!$I$13+F12*'02_Custo_Hora_Papel'!$I$14+F13*'02_Custo_Hora_Papel'!$I$15+F14*'02_Custo_Hora_Papel'!$I$16</f>
        <v>1203.979524</v>
      </c>
      <c r="G16" s="22">
        <f>G7*'02_Custo_Hora_Papel'!$I$9+G8*'02_Custo_Hora_Papel'!$I$10+G9*'02_Custo_Hora_Papel'!$I$11+G10*'02_Custo_Hora_Papel'!$I$12+G11*'02_Custo_Hora_Papel'!$I$13+G12*'02_Custo_Hora_Papel'!$I$14+G13*'02_Custo_Hora_Papel'!$I$15+G14*'02_Custo_Hora_Papel'!$I$16</f>
        <v>902.9846429</v>
      </c>
    </row>
    <row r="18" ht="23.25" customHeight="1">
      <c r="B18" s="9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B18:I1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0.0"/>
    <col customWidth="1" min="4" max="4" width="50.0"/>
    <col customWidth="1" min="5" max="26" width="8.71"/>
  </cols>
  <sheetData>
    <row r="1">
      <c r="A1" s="1" t="s">
        <v>97</v>
      </c>
    </row>
    <row r="2">
      <c r="A2" s="2" t="s">
        <v>98</v>
      </c>
    </row>
    <row r="4" ht="15.0" customHeight="1">
      <c r="A4" s="3" t="s">
        <v>99</v>
      </c>
      <c r="B4" s="4"/>
      <c r="C4" s="4"/>
      <c r="D4" s="4"/>
    </row>
    <row r="5">
      <c r="B5" s="7" t="s">
        <v>100</v>
      </c>
      <c r="C5" s="7" t="s">
        <v>101</v>
      </c>
      <c r="D5" s="7" t="s">
        <v>102</v>
      </c>
    </row>
    <row r="6">
      <c r="B6" s="5" t="s">
        <v>103</v>
      </c>
      <c r="C6" s="23">
        <v>5.0</v>
      </c>
      <c r="D6" s="9" t="s">
        <v>104</v>
      </c>
    </row>
    <row r="7">
      <c r="B7" s="5" t="s">
        <v>105</v>
      </c>
      <c r="C7" s="23">
        <v>5.0</v>
      </c>
      <c r="D7" s="9" t="s">
        <v>106</v>
      </c>
    </row>
    <row r="8">
      <c r="B8" s="5" t="s">
        <v>107</v>
      </c>
      <c r="C8" s="23">
        <v>5.0</v>
      </c>
      <c r="D8" s="9" t="s">
        <v>108</v>
      </c>
    </row>
    <row r="9">
      <c r="B9" s="5" t="s">
        <v>109</v>
      </c>
      <c r="C9" s="23">
        <v>5.0</v>
      </c>
      <c r="D9" s="9" t="s">
        <v>110</v>
      </c>
    </row>
    <row r="10">
      <c r="B10" s="5" t="s">
        <v>111</v>
      </c>
      <c r="C10" s="23">
        <v>5.0</v>
      </c>
      <c r="D10" s="9" t="s">
        <v>112</v>
      </c>
    </row>
    <row r="12" ht="15.0" customHeight="1">
      <c r="A12" s="3" t="s">
        <v>113</v>
      </c>
      <c r="B12" s="4"/>
      <c r="C12" s="4"/>
      <c r="D12" s="4"/>
    </row>
    <row r="13">
      <c r="B13" s="5" t="s">
        <v>114</v>
      </c>
      <c r="C13" s="24">
        <f>AVERAGE(C6:C10)</f>
        <v>5</v>
      </c>
    </row>
    <row r="14">
      <c r="B14" s="5" t="s">
        <v>115</v>
      </c>
      <c r="C14" s="25">
        <f>0.7+(C13-1)*0.2</f>
        <v>1.5</v>
      </c>
    </row>
    <row r="16" ht="15.0" customHeight="1">
      <c r="A16" s="3" t="s">
        <v>116</v>
      </c>
      <c r="B16" s="4"/>
      <c r="C16" s="4"/>
      <c r="D16" s="4"/>
    </row>
    <row r="17">
      <c r="B17" s="7" t="s">
        <v>114</v>
      </c>
      <c r="C17" s="7" t="s">
        <v>117</v>
      </c>
      <c r="D17" s="7" t="s">
        <v>118</v>
      </c>
    </row>
    <row r="18">
      <c r="B18" s="6">
        <v>1.0</v>
      </c>
      <c r="C18" s="5" t="s">
        <v>119</v>
      </c>
      <c r="D18" s="6" t="s">
        <v>120</v>
      </c>
    </row>
    <row r="19">
      <c r="B19" s="6">
        <v>2.0</v>
      </c>
      <c r="C19" s="5" t="s">
        <v>121</v>
      </c>
      <c r="D19" s="6" t="s">
        <v>122</v>
      </c>
    </row>
    <row r="20">
      <c r="B20" s="6">
        <v>3.0</v>
      </c>
      <c r="C20" s="5" t="s">
        <v>123</v>
      </c>
      <c r="D20" s="6" t="s">
        <v>124</v>
      </c>
    </row>
    <row r="21" ht="15.75" customHeight="1">
      <c r="B21" s="6">
        <v>4.0</v>
      </c>
      <c r="C21" s="5" t="s">
        <v>125</v>
      </c>
      <c r="D21" s="6" t="s">
        <v>126</v>
      </c>
    </row>
    <row r="22" ht="15.75" customHeight="1">
      <c r="B22" s="6">
        <v>5.0</v>
      </c>
      <c r="C22" s="5" t="s">
        <v>127</v>
      </c>
      <c r="D22" s="6" t="s">
        <v>128</v>
      </c>
    </row>
    <row r="23" ht="15.75" customHeight="1"/>
    <row r="24" ht="23.25" customHeight="1">
      <c r="B24" s="9" t="s">
        <v>129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4:D4"/>
    <mergeCell ref="A12:D12"/>
    <mergeCell ref="A16:D16"/>
    <mergeCell ref="B24:D24"/>
  </mergeCells>
  <dataValidations>
    <dataValidation type="decimal" allowBlank="1" sqref="C6:C10">
      <formula1>1.0</formula1>
      <formula2>5.0</formula2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3" width="14.0"/>
    <col customWidth="1" min="4" max="7" width="16.0"/>
    <col customWidth="1" min="8" max="26" width="8.71"/>
  </cols>
  <sheetData>
    <row r="1">
      <c r="A1" s="1" t="s">
        <v>130</v>
      </c>
    </row>
    <row r="2">
      <c r="A2" s="2" t="s">
        <v>131</v>
      </c>
    </row>
    <row r="4" ht="15.0" customHeight="1">
      <c r="A4" s="3" t="s">
        <v>132</v>
      </c>
      <c r="B4" s="4"/>
      <c r="C4" s="4"/>
      <c r="D4" s="4"/>
      <c r="E4" s="4"/>
      <c r="F4" s="4"/>
      <c r="G4" s="4"/>
    </row>
    <row r="5">
      <c r="B5" s="6" t="s">
        <v>133</v>
      </c>
      <c r="C5" s="26" t="s">
        <v>134</v>
      </c>
      <c r="D5" s="27"/>
    </row>
    <row r="6">
      <c r="B6" s="6" t="s">
        <v>135</v>
      </c>
      <c r="C6" s="26" t="s">
        <v>136</v>
      </c>
      <c r="D6" s="27"/>
    </row>
    <row r="7">
      <c r="B7" s="6" t="s">
        <v>137</v>
      </c>
      <c r="C7" s="28">
        <v>300.0</v>
      </c>
    </row>
    <row r="8">
      <c r="B8" s="6" t="s">
        <v>138</v>
      </c>
      <c r="C8" s="29">
        <f>'04_Complexidade'!$C$14</f>
        <v>1.5</v>
      </c>
    </row>
    <row r="10" ht="15.0" customHeight="1">
      <c r="A10" s="3" t="s">
        <v>139</v>
      </c>
      <c r="B10" s="4"/>
      <c r="C10" s="4"/>
      <c r="D10" s="4"/>
      <c r="E10" s="4"/>
      <c r="F10" s="4"/>
      <c r="G10" s="4"/>
    </row>
    <row r="11">
      <c r="B11" s="7" t="s">
        <v>140</v>
      </c>
      <c r="C11" s="7" t="s">
        <v>141</v>
      </c>
      <c r="D11" s="7" t="s">
        <v>142</v>
      </c>
      <c r="E11" s="7" t="s">
        <v>143</v>
      </c>
      <c r="F11" s="7" t="s">
        <v>144</v>
      </c>
      <c r="G11" s="7" t="s">
        <v>145</v>
      </c>
    </row>
    <row r="12">
      <c r="B12" s="5" t="s">
        <v>146</v>
      </c>
      <c r="C12" s="30" t="s">
        <v>147</v>
      </c>
      <c r="D12" s="31">
        <f>'03_Horas_Base_Estágio'!C15</f>
        <v>10</v>
      </c>
      <c r="E12" s="32">
        <f t="shared" ref="E12:E16" si="1">IF(C12="Sim",D12*$C$8,0)</f>
        <v>15</v>
      </c>
      <c r="F12" s="33">
        <f>'03_Horas_Base_Estágio'!$C$16</f>
        <v>601.9897619</v>
      </c>
      <c r="G12" s="34">
        <f t="shared" ref="G12:G16" si="2">IF(C12="Sim",F12*$C$8,0)</f>
        <v>902.9846429</v>
      </c>
    </row>
    <row r="13">
      <c r="B13" s="5" t="s">
        <v>148</v>
      </c>
      <c r="C13" s="30" t="s">
        <v>147</v>
      </c>
      <c r="D13" s="31">
        <f>'03_Horas_Base_Estágio'!D15</f>
        <v>10</v>
      </c>
      <c r="E13" s="32">
        <f t="shared" si="1"/>
        <v>15</v>
      </c>
      <c r="F13" s="33">
        <f>'03_Horas_Base_Estágio'!$D$16</f>
        <v>601.9897619</v>
      </c>
      <c r="G13" s="34">
        <f t="shared" si="2"/>
        <v>902.9846429</v>
      </c>
    </row>
    <row r="14">
      <c r="B14" s="5" t="s">
        <v>149</v>
      </c>
      <c r="C14" s="30" t="s">
        <v>147</v>
      </c>
      <c r="D14" s="31">
        <f>'03_Horas_Base_Estágio'!E15</f>
        <v>20</v>
      </c>
      <c r="E14" s="32">
        <f t="shared" si="1"/>
        <v>30</v>
      </c>
      <c r="F14" s="33">
        <f>'03_Horas_Base_Estágio'!$E$16</f>
        <v>1203.979524</v>
      </c>
      <c r="G14" s="34">
        <f t="shared" si="2"/>
        <v>1805.969286</v>
      </c>
    </row>
    <row r="15">
      <c r="B15" s="5" t="s">
        <v>150</v>
      </c>
      <c r="C15" s="35" t="s">
        <v>147</v>
      </c>
      <c r="D15" s="31">
        <f>'03_Horas_Base_Estágio'!F15</f>
        <v>20</v>
      </c>
      <c r="E15" s="32">
        <f t="shared" si="1"/>
        <v>30</v>
      </c>
      <c r="F15" s="33">
        <f>'03_Horas_Base_Estágio'!$F$16</f>
        <v>1203.979524</v>
      </c>
      <c r="G15" s="34">
        <f t="shared" si="2"/>
        <v>1805.969286</v>
      </c>
    </row>
    <row r="16">
      <c r="B16" s="5" t="s">
        <v>151</v>
      </c>
      <c r="C16" s="30" t="s">
        <v>147</v>
      </c>
      <c r="D16" s="31">
        <f>'03_Horas_Base_Estágio'!G15</f>
        <v>15</v>
      </c>
      <c r="E16" s="32">
        <f t="shared" si="1"/>
        <v>22.5</v>
      </c>
      <c r="F16" s="33">
        <f>'03_Horas_Base_Estágio'!$G$16</f>
        <v>902.9846429</v>
      </c>
      <c r="G16" s="34">
        <f t="shared" si="2"/>
        <v>1354.476964</v>
      </c>
    </row>
    <row r="17">
      <c r="B17" s="5" t="s">
        <v>152</v>
      </c>
      <c r="E17" s="21">
        <f>SUM(E12:E16)</f>
        <v>112.5</v>
      </c>
      <c r="G17" s="22">
        <f>SUM(G12:G16)</f>
        <v>6772.384821</v>
      </c>
    </row>
    <row r="19" ht="15.0" customHeight="1">
      <c r="A19" s="3" t="s">
        <v>153</v>
      </c>
      <c r="B19" s="4"/>
      <c r="C19" s="4"/>
      <c r="D19" s="4"/>
      <c r="E19" s="4"/>
      <c r="F19" s="4"/>
      <c r="G19" s="4"/>
    </row>
    <row r="20">
      <c r="B20" s="6" t="s">
        <v>154</v>
      </c>
      <c r="C20" s="36">
        <f>COUNTIF(C12:C16,"Sim")</f>
        <v>5</v>
      </c>
    </row>
    <row r="21" ht="15.75" customHeight="1">
      <c r="B21" s="6" t="s">
        <v>155</v>
      </c>
      <c r="C21" s="37" t="str">
        <f>IF(C20&gt;=4,"Pacote",IF(C20&gt;=2,"Parcial","Avulso"))</f>
        <v>Pacote</v>
      </c>
    </row>
    <row r="22" ht="15.75" customHeight="1">
      <c r="B22" s="6" t="s">
        <v>156</v>
      </c>
      <c r="C22" s="14">
        <v>0.0</v>
      </c>
    </row>
    <row r="23" ht="15.75" customHeight="1">
      <c r="B23" s="6" t="s">
        <v>157</v>
      </c>
      <c r="C23" s="34">
        <f>IF(C21="Pacote",G17*C22,0)</f>
        <v>0</v>
      </c>
    </row>
    <row r="24" ht="15.75" customHeight="1"/>
    <row r="25" ht="15.0" customHeight="1">
      <c r="A25" s="3" t="s">
        <v>158</v>
      </c>
      <c r="B25" s="4"/>
      <c r="C25" s="4"/>
      <c r="D25" s="4"/>
      <c r="E25" s="4"/>
      <c r="F25" s="4"/>
      <c r="G25" s="4"/>
    </row>
    <row r="26" ht="15.75" customHeight="1">
      <c r="B26" s="5" t="s">
        <v>159</v>
      </c>
      <c r="C26" s="38">
        <f>G17-C23</f>
        <v>6772.384821</v>
      </c>
      <c r="D26" s="39"/>
      <c r="E26" s="27"/>
    </row>
    <row r="27" ht="15.75" customHeight="1"/>
    <row r="28" ht="15.75" customHeight="1">
      <c r="B28" s="6" t="s">
        <v>160</v>
      </c>
      <c r="C28" s="34">
        <f>C26/C7</f>
        <v>22.57461607</v>
      </c>
    </row>
    <row r="29" ht="15.75" customHeight="1">
      <c r="B29" s="6" t="s">
        <v>161</v>
      </c>
      <c r="C29" s="32">
        <f>E17</f>
        <v>112.5</v>
      </c>
    </row>
    <row r="30" ht="15.75" customHeight="1">
      <c r="B30" s="6" t="s">
        <v>162</v>
      </c>
      <c r="C30" s="16">
        <f>IF(E17&gt;0,C26/E17,0)</f>
        <v>60.19897619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5:G25"/>
    <mergeCell ref="C26:E26"/>
    <mergeCell ref="A1:G1"/>
    <mergeCell ref="A2:G2"/>
    <mergeCell ref="A4:G4"/>
    <mergeCell ref="C5:D5"/>
    <mergeCell ref="C6:D6"/>
    <mergeCell ref="A10:G10"/>
    <mergeCell ref="A19:G19"/>
  </mergeCells>
  <dataValidations>
    <dataValidation type="list" allowBlank="1" sqref="C12:C16">
      <formula1>"Sim,Não"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29"/>
    <col customWidth="1" min="3" max="8" width="13.0"/>
    <col customWidth="1" min="9" max="26" width="8.71"/>
  </cols>
  <sheetData>
    <row r="1">
      <c r="A1" s="1" t="s">
        <v>163</v>
      </c>
    </row>
    <row r="2">
      <c r="A2" s="2" t="s">
        <v>164</v>
      </c>
    </row>
    <row r="4" ht="15.0" customHeight="1">
      <c r="A4" s="3" t="s">
        <v>165</v>
      </c>
      <c r="B4" s="4"/>
      <c r="C4" s="4"/>
      <c r="D4" s="4"/>
      <c r="E4" s="4"/>
      <c r="F4" s="4"/>
      <c r="G4" s="4"/>
      <c r="H4" s="4"/>
    </row>
    <row r="5">
      <c r="B5" s="6" t="s">
        <v>166</v>
      </c>
      <c r="C5" s="40">
        <f>'04_Complexidade'!$C$14</f>
        <v>1.5</v>
      </c>
      <c r="D5" s="27"/>
    </row>
    <row r="7">
      <c r="B7" s="7" t="s">
        <v>167</v>
      </c>
      <c r="C7" s="7" t="s">
        <v>168</v>
      </c>
      <c r="D7" s="7" t="s">
        <v>169</v>
      </c>
      <c r="E7" s="7" t="s">
        <v>170</v>
      </c>
      <c r="F7" s="7" t="s">
        <v>171</v>
      </c>
      <c r="G7" s="7" t="s">
        <v>172</v>
      </c>
      <c r="H7" s="7" t="s">
        <v>173</v>
      </c>
    </row>
    <row r="8">
      <c r="B8" s="5" t="s">
        <v>174</v>
      </c>
      <c r="C8" s="41" t="s">
        <v>175</v>
      </c>
      <c r="D8" s="42" t="s">
        <v>176</v>
      </c>
      <c r="E8" s="42" t="s">
        <v>176</v>
      </c>
      <c r="F8" s="41" t="s">
        <v>175</v>
      </c>
      <c r="G8" s="42" t="s">
        <v>176</v>
      </c>
      <c r="H8" s="42" t="s">
        <v>176</v>
      </c>
    </row>
    <row r="9">
      <c r="B9" s="5" t="s">
        <v>177</v>
      </c>
      <c r="C9" s="41" t="s">
        <v>175</v>
      </c>
      <c r="D9" s="41" t="s">
        <v>175</v>
      </c>
      <c r="E9" s="42" t="s">
        <v>176</v>
      </c>
      <c r="F9" s="41" t="s">
        <v>175</v>
      </c>
      <c r="G9" s="42" t="s">
        <v>176</v>
      </c>
      <c r="H9" s="42" t="s">
        <v>176</v>
      </c>
    </row>
    <row r="10">
      <c r="B10" s="5" t="s">
        <v>178</v>
      </c>
      <c r="C10" s="41" t="s">
        <v>175</v>
      </c>
      <c r="D10" s="41" t="s">
        <v>175</v>
      </c>
      <c r="E10" s="41" t="s">
        <v>175</v>
      </c>
      <c r="F10" s="41" t="s">
        <v>175</v>
      </c>
      <c r="G10" s="42" t="s">
        <v>176</v>
      </c>
      <c r="H10" s="42" t="s">
        <v>176</v>
      </c>
    </row>
    <row r="11">
      <c r="B11" s="5" t="s">
        <v>179</v>
      </c>
      <c r="C11" s="41" t="s">
        <v>175</v>
      </c>
      <c r="D11" s="41" t="s">
        <v>175</v>
      </c>
      <c r="E11" s="41" t="s">
        <v>175</v>
      </c>
      <c r="F11" s="41" t="s">
        <v>175</v>
      </c>
      <c r="G11" s="41" t="s">
        <v>175</v>
      </c>
      <c r="H11" s="42" t="s">
        <v>176</v>
      </c>
    </row>
    <row r="12">
      <c r="B12" s="5" t="s">
        <v>180</v>
      </c>
      <c r="C12" s="41" t="s">
        <v>175</v>
      </c>
      <c r="D12" s="41" t="s">
        <v>175</v>
      </c>
      <c r="E12" s="41" t="s">
        <v>175</v>
      </c>
      <c r="F12" s="42" t="s">
        <v>176</v>
      </c>
      <c r="G12" s="41" t="s">
        <v>175</v>
      </c>
      <c r="H12" s="41" t="s">
        <v>175</v>
      </c>
    </row>
    <row r="14">
      <c r="B14" s="5" t="s">
        <v>181</v>
      </c>
      <c r="C14" s="34">
        <f>('03_Horas_Base_Estágio'!$C$16+'03_Horas_Base_Estágio'!$D$16+'03_Horas_Base_Estágio'!$E$16+'03_Horas_Base_Estágio'!$F$16+'03_Horas_Base_Estágio'!$G$16)*$C$5</f>
        <v>6772.384821</v>
      </c>
      <c r="D14" s="34">
        <f>('03_Horas_Base_Estágio'!$D$16+'03_Horas_Base_Estágio'!$E$16+'03_Horas_Base_Estágio'!$F$16+'03_Horas_Base_Estágio'!$G$16)*$C$5</f>
        <v>5869.400179</v>
      </c>
      <c r="E14" s="34">
        <f>('03_Horas_Base_Estágio'!$E$16+'03_Horas_Base_Estágio'!$F$16+'03_Horas_Base_Estágio'!$G$16)*$C$5</f>
        <v>4966.415536</v>
      </c>
      <c r="F14" s="34">
        <f>('03_Horas_Base_Estágio'!$C$16+'03_Horas_Base_Estágio'!$D$16+'03_Horas_Base_Estágio'!$E$16)*$C$5</f>
        <v>3611.938571</v>
      </c>
      <c r="G14" s="34">
        <f>('03_Horas_Base_Estágio'!$F$16+'03_Horas_Base_Estágio'!$G$16)*$C$5</f>
        <v>3160.44625</v>
      </c>
      <c r="H14" s="34">
        <f>('03_Horas_Base_Estágio'!$G$16)*$C$5</f>
        <v>1354.476964</v>
      </c>
    </row>
    <row r="15">
      <c r="B15" s="6" t="s">
        <v>182</v>
      </c>
      <c r="C15" s="43">
        <v>5.0</v>
      </c>
      <c r="D15" s="43">
        <v>4.0</v>
      </c>
      <c r="E15" s="43">
        <v>3.0</v>
      </c>
      <c r="F15" s="43">
        <v>4.0</v>
      </c>
      <c r="G15" s="43">
        <v>2.0</v>
      </c>
      <c r="H15" s="43">
        <v>1.0</v>
      </c>
    </row>
    <row r="16">
      <c r="B16" s="6" t="s">
        <v>183</v>
      </c>
      <c r="C16" s="34">
        <f t="shared" ref="C16:H16" si="1">IF(C15&gt;=4,C14*0.1,0)</f>
        <v>677.2384821</v>
      </c>
      <c r="D16" s="34">
        <f t="shared" si="1"/>
        <v>586.9400179</v>
      </c>
      <c r="E16" s="34">
        <f t="shared" si="1"/>
        <v>0</v>
      </c>
      <c r="F16" s="34">
        <f t="shared" si="1"/>
        <v>361.1938571</v>
      </c>
      <c r="G16" s="34">
        <f t="shared" si="1"/>
        <v>0</v>
      </c>
      <c r="H16" s="34">
        <f t="shared" si="1"/>
        <v>0</v>
      </c>
    </row>
    <row r="17">
      <c r="B17" s="5" t="s">
        <v>184</v>
      </c>
      <c r="C17" s="44">
        <f t="shared" ref="C17:H17" si="2">C14-C16</f>
        <v>6095.146339</v>
      </c>
      <c r="D17" s="44">
        <f t="shared" si="2"/>
        <v>5282.460161</v>
      </c>
      <c r="E17" s="44">
        <f t="shared" si="2"/>
        <v>4966.415536</v>
      </c>
      <c r="F17" s="44">
        <f t="shared" si="2"/>
        <v>3250.744714</v>
      </c>
      <c r="G17" s="44">
        <f t="shared" si="2"/>
        <v>3160.44625</v>
      </c>
      <c r="H17" s="44">
        <f t="shared" si="2"/>
        <v>1354.476964</v>
      </c>
    </row>
    <row r="19">
      <c r="B19" s="6" t="s">
        <v>185</v>
      </c>
      <c r="C19" s="45">
        <f t="shared" ref="C19:H19" si="3">C17/$C$17</f>
        <v>1</v>
      </c>
      <c r="D19" s="45">
        <f t="shared" si="3"/>
        <v>0.8666666667</v>
      </c>
      <c r="E19" s="45">
        <f t="shared" si="3"/>
        <v>0.8148148148</v>
      </c>
      <c r="F19" s="45">
        <f t="shared" si="3"/>
        <v>0.5333333333</v>
      </c>
      <c r="G19" s="45">
        <f t="shared" si="3"/>
        <v>0.5185185185</v>
      </c>
      <c r="H19" s="45">
        <f t="shared" si="3"/>
        <v>0.2222222222</v>
      </c>
    </row>
    <row r="21" ht="15.0" customHeight="1">
      <c r="A21" s="3" t="s">
        <v>186</v>
      </c>
      <c r="B21" s="4"/>
      <c r="C21" s="4"/>
      <c r="D21" s="4"/>
      <c r="E21" s="4"/>
      <c r="F21" s="4"/>
      <c r="G21" s="4"/>
      <c r="H21" s="4"/>
    </row>
    <row r="22" ht="15.0" customHeight="1">
      <c r="B22" s="5" t="s">
        <v>168</v>
      </c>
      <c r="C22" s="9" t="s">
        <v>187</v>
      </c>
    </row>
    <row r="23" ht="15.0" customHeight="1">
      <c r="B23" s="5" t="s">
        <v>188</v>
      </c>
      <c r="C23" s="9" t="s">
        <v>189</v>
      </c>
    </row>
    <row r="24">
      <c r="B24" s="5" t="s">
        <v>190</v>
      </c>
      <c r="C24" s="9" t="s">
        <v>191</v>
      </c>
    </row>
    <row r="25" ht="15.0" customHeight="1">
      <c r="B25" s="5" t="s">
        <v>192</v>
      </c>
      <c r="C25" s="9" t="s">
        <v>193</v>
      </c>
    </row>
    <row r="26">
      <c r="B26" s="5" t="s">
        <v>194</v>
      </c>
      <c r="C26" s="9" t="s">
        <v>195</v>
      </c>
    </row>
    <row r="27">
      <c r="B27" s="5" t="s">
        <v>196</v>
      </c>
      <c r="C27" s="9" t="s">
        <v>197</v>
      </c>
    </row>
    <row r="28" ht="15.75" customHeight="1"/>
    <row r="29" ht="15.75" customHeight="1"/>
    <row r="30" ht="15.0" customHeight="1">
      <c r="A30" s="3" t="s">
        <v>198</v>
      </c>
      <c r="B30" s="4"/>
      <c r="C30" s="4"/>
      <c r="D30" s="4"/>
      <c r="E30" s="4"/>
      <c r="F30" s="4"/>
      <c r="G30" s="4"/>
      <c r="H30" s="4"/>
    </row>
    <row r="31" ht="15.0" customHeight="1">
      <c r="B31" s="5" t="s">
        <v>27</v>
      </c>
      <c r="C31" s="46" t="s">
        <v>199</v>
      </c>
    </row>
    <row r="32" ht="23.25" customHeight="1">
      <c r="B32" s="5" t="s">
        <v>27</v>
      </c>
      <c r="C32" s="46" t="s">
        <v>200</v>
      </c>
    </row>
    <row r="33" ht="23.25" customHeight="1">
      <c r="B33" s="5" t="s">
        <v>27</v>
      </c>
      <c r="C33" s="46" t="s">
        <v>201</v>
      </c>
    </row>
    <row r="34" ht="23.25" customHeight="1">
      <c r="B34" s="5" t="s">
        <v>27</v>
      </c>
      <c r="C34" s="46" t="s">
        <v>202</v>
      </c>
    </row>
    <row r="35" ht="23.25" customHeight="1">
      <c r="B35" s="5" t="s">
        <v>27</v>
      </c>
      <c r="C35" s="46" t="s">
        <v>203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H1"/>
    <mergeCell ref="A2:H2"/>
    <mergeCell ref="A4:H4"/>
    <mergeCell ref="C5:D5"/>
    <mergeCell ref="A21:H21"/>
    <mergeCell ref="C22:H22"/>
    <mergeCell ref="C23:H23"/>
    <mergeCell ref="C33:H33"/>
    <mergeCell ref="C34:H34"/>
    <mergeCell ref="C35:H35"/>
    <mergeCell ref="C24:H24"/>
    <mergeCell ref="C25:H25"/>
    <mergeCell ref="C26:H26"/>
    <mergeCell ref="C27:H27"/>
    <mergeCell ref="A30:H30"/>
    <mergeCell ref="C31:H31"/>
    <mergeCell ref="C32:H3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2026-05-16T18:22:22Z</dcterms:created>
  <dc:creator>openpyxl</dc:creator>
</cp:coreProperties>
</file>